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D:\da\excel\"/>
    </mc:Choice>
  </mc:AlternateContent>
  <xr:revisionPtr revIDLastSave="0" documentId="13_ncr:2001_{38230326-D514-4ADF-9DDD-A6B3BC482BFC}" xr6:coauthVersionLast="47" xr6:coauthVersionMax="47" xr10:uidLastSave="{00000000-0000-0000-0000-000000000000}"/>
  <bookViews>
    <workbookView xWindow="-120" yWindow="-120" windowWidth="20730" windowHeight="11040" activeTab="1" xr2:uid="{00000000-000D-0000-FFFF-FFFF00000000}"/>
  </bookViews>
  <sheets>
    <sheet name="bike_buyers" sheetId="1" r:id="rId1"/>
    <sheet name="Dashboard" sheetId="2" r:id="rId2"/>
    <sheet name="pivot table" sheetId="3" r:id="rId3"/>
    <sheet name="working sheet" sheetId="4" r:id="rId4"/>
  </sheets>
  <definedNames>
    <definedName name="_xlnm._FilterDatabase" localSheetId="0" hidden="1">bike_buyers!$A$1:$M$1001</definedName>
    <definedName name="_xlnm._FilterDatabase" localSheetId="3" hidden="1">'working sheet'!$A$1:$N$1001</definedName>
    <definedName name="Slicer_Education">#N/A</definedName>
    <definedName name="Slicer_Marital_Status">#N/A</definedName>
    <definedName name="Slicer_Region">#N/A</definedName>
  </definedNames>
  <calcPr calcId="191029"/>
  <pivotCaches>
    <pivotCache cacheId="25" r:id="rId5"/>
  </pivotCaches>
  <fileRecoveryPr repairLoad="1"/>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<sst xmlns="http://schemas.openxmlformats.org/spreadsheetml/2006/main" count="16267" uniqueCount="51">
  <si>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</si>
  <si>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</si>
  <si>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</si>
  <si>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</si>
  <si>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</si>
  <si>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</si>
  <si>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</si>
  <si>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</si>
  <si>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</si>
  <si>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</si>
  <si>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</si>
  <si>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</si>
  <si>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</si>
  <si>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</si>
  <si>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</si>
  <si>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</si>
  <si>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</si>
  <si>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</si>
  <si>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</si>
  <si>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</si>
  <si>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</si>
  <si>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</si>
  <si>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</si>
  <si>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</si>
  <si>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</si>
  <si>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</si>
  <si>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</si>
  <si>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</si>
  <si>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</si>
  <si>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</si>
  <si>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</si>
  <si>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</si>
  <si>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</si>
  <si>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</si>
  <si>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</si>
  <si>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</si>
  <si>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</si>
  <si>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</si>
  <si>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</si>
  <si>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</si>
  <si>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t>
  </si>
  <si>
    <t>Row Labels</t>
  </si>
  <si>
    <t>Grand Total</t>
  </si>
  <si>
    <t>Column Labels</t>
  </si>
  <si>
    <t>Average of Income</t>
  </si>
  <si>
    <t>Count of Purchased Bike</t>
  </si>
  <si>
    <t>More than 10 miles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</si>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</sst>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 #,##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pivotButton="1" applyAlignment="1">
      <alignment horizontal="center"/>
    </xf>
    <xf numFmtId="0" fontId="0" fillId="0" borderId="0" xfId="0" applyAlignment="1">
      <alignment horizontal="center"/>
    </xf>
    <xf numFmtId="0" fontId="0" fillId="0" borderId="0" xfId="0" applyNumberFormat="1" applyAlignment="1">
      <alignment horizont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2">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day 6.xlsx]pivot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 #,##0</c:formatCode>
                <c:ptCount val="2"/>
                <c:pt idx="0">
                  <c:v>53440</c:v>
                </c:pt>
                <c:pt idx="1">
                  <c:v>56208.178438661707</c:v>
                </c:pt>
              </c:numCache>
            </c:numRef>
          </c:val>
          <c:extLst>
            <c:ext xmlns:c16="http://schemas.microsoft.com/office/drawing/2014/chart" uri="{C3380CC4-5D6E-409C-BE32-E72D297353CC}">
              <c16:uniqueId val="{00000000-780A-47B8-8FFF-C01C2E53CC5C}"/>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 #,##0</c:formatCode>
                <c:ptCount val="2"/>
                <c:pt idx="0">
                  <c:v>55774.058577405856</c:v>
                </c:pt>
                <c:pt idx="1">
                  <c:v>60123.966942148763</c:v>
                </c:pt>
              </c:numCache>
            </c:numRef>
          </c:val>
          <c:extLst>
            <c:ext xmlns:c16="http://schemas.microsoft.com/office/drawing/2014/chart" uri="{C3380CC4-5D6E-409C-BE32-E72D297353CC}">
              <c16:uniqueId val="{00000001-780A-47B8-8FFF-C01C2E53CC5C}"/>
            </c:ext>
          </c:extLst>
        </c:ser>
        <c:dLbls>
          <c:showLegendKey val="0"/>
          <c:showVal val="0"/>
          <c:showCatName val="0"/>
          <c:showSerName val="0"/>
          <c:showPercent val="0"/>
          <c:showBubbleSize val="0"/>
        </c:dLbls>
        <c:gapWidth val="219"/>
        <c:overlap val="-27"/>
        <c:axId val="21889792"/>
        <c:axId val="21870112"/>
      </c:barChart>
      <c:catAx>
        <c:axId val="218897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870112"/>
        <c:crosses val="autoZero"/>
        <c:auto val="1"/>
        <c:lblAlgn val="ctr"/>
        <c:lblOffset val="100"/>
        <c:noMultiLvlLbl val="0"/>
      </c:catAx>
      <c:valAx>
        <c:axId val="218701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layout>
            <c:manualLayout>
              <c:xMode val="edge"/>
              <c:yMode val="edge"/>
              <c:x val="2.2222222222222223E-2"/>
              <c:y val="0.3387769757946923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8897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day 6.xlsx]pivot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table'!$B$17:$B$18</c:f>
              <c:strCache>
                <c:ptCount val="1"/>
                <c:pt idx="0">
                  <c:v>No</c:v>
                </c:pt>
              </c:strCache>
            </c:strRef>
          </c:tx>
          <c:spPr>
            <a:ln w="28575" cap="rnd">
              <a:solidFill>
                <a:schemeClr val="accent1"/>
              </a:solidFill>
              <a:round/>
            </a:ln>
            <a:effectLst/>
          </c:spPr>
          <c:marker>
            <c:symbol val="none"/>
          </c:marker>
          <c:cat>
            <c:strRef>
              <c:f>'pivot table'!$A$19:$A$24</c:f>
              <c:strCache>
                <c:ptCount val="5"/>
                <c:pt idx="0">
                  <c:v>0-1 Miles</c:v>
                </c:pt>
                <c:pt idx="1">
                  <c:v>1-2 Miles</c:v>
                </c:pt>
                <c:pt idx="2">
                  <c:v>2-5 Miles</c:v>
                </c:pt>
                <c:pt idx="3">
                  <c:v>5-10 Miles</c:v>
                </c:pt>
                <c:pt idx="4">
                  <c:v>More than 10 miles Miles</c:v>
                </c:pt>
              </c:strCache>
            </c:strRef>
          </c:cat>
          <c:val>
            <c:numRef>
              <c:f>'pivot table'!$B$19:$B$24</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4D64-4B83-9F8D-7DB8BE8D90C1}"/>
            </c:ext>
          </c:extLst>
        </c:ser>
        <c:ser>
          <c:idx val="1"/>
          <c:order val="1"/>
          <c:tx>
            <c:strRef>
              <c:f>'pivot table'!$C$17:$C$18</c:f>
              <c:strCache>
                <c:ptCount val="1"/>
                <c:pt idx="0">
                  <c:v>Yes</c:v>
                </c:pt>
              </c:strCache>
            </c:strRef>
          </c:tx>
          <c:spPr>
            <a:ln w="28575" cap="rnd">
              <a:solidFill>
                <a:schemeClr val="accent2"/>
              </a:solidFill>
              <a:round/>
            </a:ln>
            <a:effectLst/>
          </c:spPr>
          <c:marker>
            <c:symbol val="none"/>
          </c:marker>
          <c:cat>
            <c:strRef>
              <c:f>'pivot table'!$A$19:$A$24</c:f>
              <c:strCache>
                <c:ptCount val="5"/>
                <c:pt idx="0">
                  <c:v>0-1 Miles</c:v>
                </c:pt>
                <c:pt idx="1">
                  <c:v>1-2 Miles</c:v>
                </c:pt>
                <c:pt idx="2">
                  <c:v>2-5 Miles</c:v>
                </c:pt>
                <c:pt idx="3">
                  <c:v>5-10 Miles</c:v>
                </c:pt>
                <c:pt idx="4">
                  <c:v>More than 10 miles Miles</c:v>
                </c:pt>
              </c:strCache>
            </c:strRef>
          </c:cat>
          <c:val>
            <c:numRef>
              <c:f>'pivot table'!$C$19:$C$24</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4D64-4B83-9F8D-7DB8BE8D90C1}"/>
            </c:ext>
          </c:extLst>
        </c:ser>
        <c:dLbls>
          <c:showLegendKey val="0"/>
          <c:showVal val="0"/>
          <c:showCatName val="0"/>
          <c:showSerName val="0"/>
          <c:showPercent val="0"/>
          <c:showBubbleSize val="0"/>
        </c:dLbls>
        <c:smooth val="0"/>
        <c:axId val="21921472"/>
        <c:axId val="21917632"/>
      </c:lineChart>
      <c:catAx>
        <c:axId val="219214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17632"/>
        <c:crosses val="autoZero"/>
        <c:auto val="1"/>
        <c:lblAlgn val="ctr"/>
        <c:lblOffset val="100"/>
        <c:noMultiLvlLbl val="0"/>
      </c:catAx>
      <c:valAx>
        <c:axId val="21917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21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day 6.xlsx]pivot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table'!$B$33:$B$34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table'!$A$35:$A$38</c:f>
              <c:strCache>
                <c:ptCount val="3"/>
                <c:pt idx="0">
                  <c:v>Adolescent</c:v>
                </c:pt>
                <c:pt idx="1">
                  <c:v>Middle Age</c:v>
                </c:pt>
                <c:pt idx="2">
                  <c:v>Old</c:v>
                </c:pt>
              </c:strCache>
            </c:strRef>
          </c:cat>
          <c:val>
            <c:numRef>
              <c:f>'pivot table'!$B$35:$B$38</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877B-433F-BE5E-506CDA0E6070}"/>
            </c:ext>
          </c:extLst>
        </c:ser>
        <c:ser>
          <c:idx val="1"/>
          <c:order val="1"/>
          <c:tx>
            <c:strRef>
              <c:f>'pivot table'!$C$33:$C$34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table'!$A$35:$A$38</c:f>
              <c:strCache>
                <c:ptCount val="3"/>
                <c:pt idx="0">
                  <c:v>Adolescent</c:v>
                </c:pt>
                <c:pt idx="1">
                  <c:v>Middle Age</c:v>
                </c:pt>
                <c:pt idx="2">
                  <c:v>Old</c:v>
                </c:pt>
              </c:strCache>
            </c:strRef>
          </c:cat>
          <c:val>
            <c:numRef>
              <c:f>'pivot table'!$C$35:$C$38</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877B-433F-BE5E-506CDA0E6070}"/>
            </c:ext>
          </c:extLst>
        </c:ser>
        <c:dLbls>
          <c:showLegendKey val="0"/>
          <c:showVal val="0"/>
          <c:showCatName val="0"/>
          <c:showSerName val="0"/>
          <c:showPercent val="0"/>
          <c:showBubbleSize val="0"/>
        </c:dLbls>
        <c:marker val="1"/>
        <c:smooth val="0"/>
        <c:axId val="1417391184"/>
        <c:axId val="1417392144"/>
      </c:lineChart>
      <c:catAx>
        <c:axId val="1417391184"/>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7392144"/>
        <c:crosses val="autoZero"/>
        <c:auto val="1"/>
        <c:lblAlgn val="ctr"/>
        <c:lblOffset val="100"/>
        <c:noMultiLvlLbl val="0"/>
      </c:catAx>
      <c:valAx>
        <c:axId val="1417392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7391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day 6.xlsx]pivot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 #,##0</c:formatCode>
                <c:ptCount val="2"/>
                <c:pt idx="0">
                  <c:v>53440</c:v>
                </c:pt>
                <c:pt idx="1">
                  <c:v>56208.178438661707</c:v>
                </c:pt>
              </c:numCache>
            </c:numRef>
          </c:val>
          <c:extLst>
            <c:ext xmlns:c16="http://schemas.microsoft.com/office/drawing/2014/chart" uri="{C3380CC4-5D6E-409C-BE32-E72D297353CC}">
              <c16:uniqueId val="{00000000-4C68-4BE5-B243-B2839595E7E8}"/>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 #,##0</c:formatCode>
                <c:ptCount val="2"/>
                <c:pt idx="0">
                  <c:v>55774.058577405856</c:v>
                </c:pt>
                <c:pt idx="1">
                  <c:v>60123.966942148763</c:v>
                </c:pt>
              </c:numCache>
            </c:numRef>
          </c:val>
          <c:extLst>
            <c:ext xmlns:c16="http://schemas.microsoft.com/office/drawing/2014/chart" uri="{C3380CC4-5D6E-409C-BE32-E72D297353CC}">
              <c16:uniqueId val="{00000001-4C68-4BE5-B243-B2839595E7E8}"/>
            </c:ext>
          </c:extLst>
        </c:ser>
        <c:dLbls>
          <c:showLegendKey val="0"/>
          <c:showVal val="0"/>
          <c:showCatName val="0"/>
          <c:showSerName val="0"/>
          <c:showPercent val="0"/>
          <c:showBubbleSize val="0"/>
        </c:dLbls>
        <c:gapWidth val="219"/>
        <c:overlap val="-27"/>
        <c:axId val="21889792"/>
        <c:axId val="21870112"/>
      </c:barChart>
      <c:catAx>
        <c:axId val="218897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870112"/>
        <c:crosses val="autoZero"/>
        <c:auto val="1"/>
        <c:lblAlgn val="ctr"/>
        <c:lblOffset val="100"/>
        <c:noMultiLvlLbl val="0"/>
      </c:catAx>
      <c:valAx>
        <c:axId val="218701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layout>
            <c:manualLayout>
              <c:xMode val="edge"/>
              <c:yMode val="edge"/>
              <c:x val="2.2222222222222223E-2"/>
              <c:y val="0.3387769757946923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8897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day 6.xlsx]pivot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table'!$B$17:$B$18</c:f>
              <c:strCache>
                <c:ptCount val="1"/>
                <c:pt idx="0">
                  <c:v>No</c:v>
                </c:pt>
              </c:strCache>
            </c:strRef>
          </c:tx>
          <c:spPr>
            <a:ln w="28575" cap="rnd">
              <a:solidFill>
                <a:schemeClr val="accent1"/>
              </a:solidFill>
              <a:round/>
            </a:ln>
            <a:effectLst/>
          </c:spPr>
          <c:marker>
            <c:symbol val="none"/>
          </c:marker>
          <c:cat>
            <c:strRef>
              <c:f>'pivot table'!$A$19:$A$24</c:f>
              <c:strCache>
                <c:ptCount val="5"/>
                <c:pt idx="0">
                  <c:v>0-1 Miles</c:v>
                </c:pt>
                <c:pt idx="1">
                  <c:v>1-2 Miles</c:v>
                </c:pt>
                <c:pt idx="2">
                  <c:v>2-5 Miles</c:v>
                </c:pt>
                <c:pt idx="3">
                  <c:v>5-10 Miles</c:v>
                </c:pt>
                <c:pt idx="4">
                  <c:v>More than 10 miles Miles</c:v>
                </c:pt>
              </c:strCache>
            </c:strRef>
          </c:cat>
          <c:val>
            <c:numRef>
              <c:f>'pivot table'!$B$19:$B$24</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8269-438B-84CF-5086BDD93CAA}"/>
            </c:ext>
          </c:extLst>
        </c:ser>
        <c:ser>
          <c:idx val="1"/>
          <c:order val="1"/>
          <c:tx>
            <c:strRef>
              <c:f>'pivot table'!$C$17:$C$18</c:f>
              <c:strCache>
                <c:ptCount val="1"/>
                <c:pt idx="0">
                  <c:v>Yes</c:v>
                </c:pt>
              </c:strCache>
            </c:strRef>
          </c:tx>
          <c:spPr>
            <a:ln w="28575" cap="rnd">
              <a:solidFill>
                <a:schemeClr val="accent2"/>
              </a:solidFill>
              <a:round/>
            </a:ln>
            <a:effectLst/>
          </c:spPr>
          <c:marker>
            <c:symbol val="none"/>
          </c:marker>
          <c:cat>
            <c:strRef>
              <c:f>'pivot table'!$A$19:$A$24</c:f>
              <c:strCache>
                <c:ptCount val="5"/>
                <c:pt idx="0">
                  <c:v>0-1 Miles</c:v>
                </c:pt>
                <c:pt idx="1">
                  <c:v>1-2 Miles</c:v>
                </c:pt>
                <c:pt idx="2">
                  <c:v>2-5 Miles</c:v>
                </c:pt>
                <c:pt idx="3">
                  <c:v>5-10 Miles</c:v>
                </c:pt>
                <c:pt idx="4">
                  <c:v>More than 10 miles Miles</c:v>
                </c:pt>
              </c:strCache>
            </c:strRef>
          </c:cat>
          <c:val>
            <c:numRef>
              <c:f>'pivot table'!$C$19:$C$24</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8269-438B-84CF-5086BDD93CAA}"/>
            </c:ext>
          </c:extLst>
        </c:ser>
        <c:dLbls>
          <c:showLegendKey val="0"/>
          <c:showVal val="0"/>
          <c:showCatName val="0"/>
          <c:showSerName val="0"/>
          <c:showPercent val="0"/>
          <c:showBubbleSize val="0"/>
        </c:dLbls>
        <c:smooth val="0"/>
        <c:axId val="21921472"/>
        <c:axId val="21917632"/>
      </c:lineChart>
      <c:catAx>
        <c:axId val="219214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17632"/>
        <c:crosses val="autoZero"/>
        <c:auto val="1"/>
        <c:lblAlgn val="ctr"/>
        <c:lblOffset val="100"/>
        <c:noMultiLvlLbl val="0"/>
      </c:catAx>
      <c:valAx>
        <c:axId val="21917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21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day 6.xlsx]pivot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table'!$B$33:$B$34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table'!$A$35:$A$38</c:f>
              <c:strCache>
                <c:ptCount val="3"/>
                <c:pt idx="0">
                  <c:v>Adolescent</c:v>
                </c:pt>
                <c:pt idx="1">
                  <c:v>Middle Age</c:v>
                </c:pt>
                <c:pt idx="2">
                  <c:v>Old</c:v>
                </c:pt>
              </c:strCache>
            </c:strRef>
          </c:cat>
          <c:val>
            <c:numRef>
              <c:f>'pivot table'!$B$35:$B$38</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C80F-422B-B409-765A8096495B}"/>
            </c:ext>
          </c:extLst>
        </c:ser>
        <c:ser>
          <c:idx val="1"/>
          <c:order val="1"/>
          <c:tx>
            <c:strRef>
              <c:f>'pivot table'!$C$33:$C$34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table'!$A$35:$A$38</c:f>
              <c:strCache>
                <c:ptCount val="3"/>
                <c:pt idx="0">
                  <c:v>Adolescent</c:v>
                </c:pt>
                <c:pt idx="1">
                  <c:v>Middle Age</c:v>
                </c:pt>
                <c:pt idx="2">
                  <c:v>Old</c:v>
                </c:pt>
              </c:strCache>
            </c:strRef>
          </c:cat>
          <c:val>
            <c:numRef>
              <c:f>'pivot table'!$C$35:$C$38</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C80F-422B-B409-765A8096495B}"/>
            </c:ext>
          </c:extLst>
        </c:ser>
        <c:dLbls>
          <c:showLegendKey val="0"/>
          <c:showVal val="0"/>
          <c:showCatName val="0"/>
          <c:showSerName val="0"/>
          <c:showPercent val="0"/>
          <c:showBubbleSize val="0"/>
        </c:dLbls>
        <c:marker val="1"/>
        <c:smooth val="0"/>
        <c:axId val="1417391184"/>
        <c:axId val="1417392144"/>
      </c:lineChart>
      <c:catAx>
        <c:axId val="1417391184"/>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7392144"/>
        <c:crosses val="autoZero"/>
        <c:auto val="1"/>
        <c:lblAlgn val="ctr"/>
        <c:lblOffset val="100"/>
        <c:noMultiLvlLbl val="0"/>
      </c:catAx>
      <c:valAx>
        <c:axId val="1417392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7391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185553</xdr:colOff>
      <xdr:row>6</xdr:row>
      <xdr:rowOff>32410</xdr:rowOff>
    </xdr:from>
    <xdr:to>
      <xdr:col>13</xdr:col>
      <xdr:colOff>197922</xdr:colOff>
      <xdr:row>26</xdr:row>
      <xdr:rowOff>86591</xdr:rowOff>
    </xdr:to>
    <xdr:graphicFrame macro="">
      <xdr:nvGraphicFramePr>
        <xdr:cNvPr id="2" name="Chart 1">
          <a:extLst>
            <a:ext uri="{FF2B5EF4-FFF2-40B4-BE49-F238E27FC236}">
              <a16:creationId xmlns:a16="http://schemas.microsoft.com/office/drawing/2014/main" id="{8190EC4A-40FD-49FD-8FCA-B48D16B491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26</xdr:row>
      <xdr:rowOff>106630</xdr:rowOff>
    </xdr:from>
    <xdr:to>
      <xdr:col>21</xdr:col>
      <xdr:colOff>569026</xdr:colOff>
      <xdr:row>46</xdr:row>
      <xdr:rowOff>158583</xdr:rowOff>
    </xdr:to>
    <xdr:graphicFrame macro="">
      <xdr:nvGraphicFramePr>
        <xdr:cNvPr id="3" name="Chart 2">
          <a:extLst>
            <a:ext uri="{FF2B5EF4-FFF2-40B4-BE49-F238E27FC236}">
              <a16:creationId xmlns:a16="http://schemas.microsoft.com/office/drawing/2014/main" id="{D327A10C-D511-45B6-8070-907ED05D64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222662</xdr:colOff>
      <xdr:row>6</xdr:row>
      <xdr:rowOff>24741</xdr:rowOff>
    </xdr:from>
    <xdr:to>
      <xdr:col>21</xdr:col>
      <xdr:colOff>581396</xdr:colOff>
      <xdr:row>26</xdr:row>
      <xdr:rowOff>74221</xdr:rowOff>
    </xdr:to>
    <xdr:graphicFrame macro="">
      <xdr:nvGraphicFramePr>
        <xdr:cNvPr id="4" name="Chart 3">
          <a:extLst>
            <a:ext uri="{FF2B5EF4-FFF2-40B4-BE49-F238E27FC236}">
              <a16:creationId xmlns:a16="http://schemas.microsoft.com/office/drawing/2014/main" id="{3741292D-97F1-4A1C-A820-26B82D4D80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50595</xdr:rowOff>
    </xdr:from>
    <xdr:to>
      <xdr:col>4</xdr:col>
      <xdr:colOff>185551</xdr:colOff>
      <xdr:row>11</xdr:row>
      <xdr:rowOff>37111</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C1AB7BF5-5FA5-CA1A-A70F-729F7B6E4185}"/>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431720"/>
              <a:ext cx="2598551" cy="9390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98961</xdr:rowOff>
    </xdr:from>
    <xdr:to>
      <xdr:col>4</xdr:col>
      <xdr:colOff>173181</xdr:colOff>
      <xdr:row>26</xdr:row>
      <xdr:rowOff>61851</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4F3E145D-E2EB-EAEC-DD68-381215D4CD3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575586"/>
              <a:ext cx="2586181" cy="16773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66057</xdr:rowOff>
    </xdr:from>
    <xdr:to>
      <xdr:col>4</xdr:col>
      <xdr:colOff>173181</xdr:colOff>
      <xdr:row>17</xdr:row>
      <xdr:rowOff>61851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6AEA78DE-C7DB-915E-1336-3FFF5736353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399682"/>
              <a:ext cx="2586181" cy="11387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219075</xdr:colOff>
      <xdr:row>0</xdr:row>
      <xdr:rowOff>71436</xdr:rowOff>
    </xdr:from>
    <xdr:to>
      <xdr:col>12</xdr:col>
      <xdr:colOff>9525</xdr:colOff>
      <xdr:row>15</xdr:row>
      <xdr:rowOff>19049</xdr:rowOff>
    </xdr:to>
    <xdr:graphicFrame macro="">
      <xdr:nvGraphicFramePr>
        <xdr:cNvPr id="2" name="Chart 1">
          <a:extLst>
            <a:ext uri="{FF2B5EF4-FFF2-40B4-BE49-F238E27FC236}">
              <a16:creationId xmlns:a16="http://schemas.microsoft.com/office/drawing/2014/main" id="{96EA5BED-FAF6-8F54-2BBD-EA71B6F488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219075</xdr:colOff>
      <xdr:row>15</xdr:row>
      <xdr:rowOff>138111</xdr:rowOff>
    </xdr:from>
    <xdr:to>
      <xdr:col>11</xdr:col>
      <xdr:colOff>600075</xdr:colOff>
      <xdr:row>30</xdr:row>
      <xdr:rowOff>123824</xdr:rowOff>
    </xdr:to>
    <xdr:graphicFrame macro="">
      <xdr:nvGraphicFramePr>
        <xdr:cNvPr id="3" name="Chart 2">
          <a:extLst>
            <a:ext uri="{FF2B5EF4-FFF2-40B4-BE49-F238E27FC236}">
              <a16:creationId xmlns:a16="http://schemas.microsoft.com/office/drawing/2014/main" id="{D73B9FE0-2DFB-981C-1FCE-EE3FF61BDD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66675</xdr:colOff>
      <xdr:row>31</xdr:row>
      <xdr:rowOff>23812</xdr:rowOff>
    </xdr:from>
    <xdr:to>
      <xdr:col>11</xdr:col>
      <xdr:colOff>371475</xdr:colOff>
      <xdr:row>45</xdr:row>
      <xdr:rowOff>100012</xdr:rowOff>
    </xdr:to>
    <xdr:graphicFrame macro="">
      <xdr:nvGraphicFramePr>
        <xdr:cNvPr id="4" name="Chart 3">
          <a:extLst>
            <a:ext uri="{FF2B5EF4-FFF2-40B4-BE49-F238E27FC236}">
              <a16:creationId xmlns:a16="http://schemas.microsoft.com/office/drawing/2014/main" id="{241CF273-390C-C4D8-4C23-E8F570DB5B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shav sharma" refreshedDate="46096.750095601848" createdVersion="8" refreshedVersion="8" minRefreshableVersion="3" recordCount="1000" xr:uid="{59019DEB-35DE-4A2A-AF12-FB7E4F6AECCE}">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1525407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0"/>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0"/>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0"/>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0"/>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0"/>
    <x v="1"/>
  </r>
  <r>
    <n v="12212"/>
    <x v="0"/>
    <x v="0"/>
    <n v="10000"/>
    <n v="0"/>
    <x v="4"/>
    <s v="Manual"/>
    <s v="Yes"/>
    <n v="0"/>
    <x v="0"/>
    <x v="0"/>
    <x v="34"/>
    <x v="0"/>
    <x v="1"/>
  </r>
  <r>
    <n v="25529"/>
    <x v="1"/>
    <x v="1"/>
    <n v="10000"/>
    <n v="1"/>
    <x v="4"/>
    <s v="Manual"/>
    <s v="Yes"/>
    <n v="0"/>
    <x v="0"/>
    <x v="0"/>
    <x v="20"/>
    <x v="0"/>
    <x v="0"/>
  </r>
  <r>
    <n v="22170"/>
    <x v="0"/>
    <x v="0"/>
    <n v="30000"/>
    <n v="3"/>
    <x v="1"/>
    <s v="Clerical"/>
    <s v="No"/>
    <n v="2"/>
    <x v="3"/>
    <x v="1"/>
    <x v="10"/>
    <x v="0"/>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0"/>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0"/>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0"/>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0"/>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0"/>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0"/>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0"/>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0"/>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0"/>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0"/>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0"/>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0"/>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726A4D-1383-446B-973A-BDBCF8B98571}" name="PivotTable3"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3:D38"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B95E208-3BDC-44EF-88B8-1A87199288FE}" name="PivotTable2"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7:D24"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formats count="9">
    <format dxfId="153">
      <pivotArea type="all" dataOnly="0" outline="0" fieldPosition="0"/>
    </format>
    <format dxfId="154">
      <pivotArea outline="0" collapsedLevelsAreSubtotals="1" fieldPosition="0"/>
    </format>
    <format dxfId="155">
      <pivotArea type="origin" dataOnly="0" labelOnly="1" outline="0" fieldPosition="0"/>
    </format>
    <format dxfId="156">
      <pivotArea field="13" type="button" dataOnly="0" labelOnly="1" outline="0" axis="axisCol" fieldPosition="0"/>
    </format>
    <format dxfId="157">
      <pivotArea type="topRight" dataOnly="0" labelOnly="1" outline="0" fieldPosition="0"/>
    </format>
    <format dxfId="158">
      <pivotArea field="9" type="button" dataOnly="0" labelOnly="1" outline="0" axis="axisRow" fieldPosition="0"/>
    </format>
    <format dxfId="159">
      <pivotArea dataOnly="0" labelOnly="1" grandRow="1" outline="0" fieldPosition="0"/>
    </format>
    <format dxfId="160">
      <pivotArea dataOnly="0" labelOnly="1" fieldPosition="0">
        <references count="1">
          <reference field="13" count="0"/>
        </references>
      </pivotArea>
    </format>
    <format dxfId="161">
      <pivotArea dataOnly="0" labelOnly="1" grandCol="1" outline="0"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B14051-7852-4779-BF5D-E924EE14E04A}" name="PivotTable1"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841261D7-3743-415B-9461-E6CACB11E375}" sourceName="Marital Status">
  <pivotTables>
    <pivotTable tabId="3" name="PivotTable1"/>
    <pivotTable tabId="3" name="PivotTable2"/>
    <pivotTable tabId="3" name="PivotTable3"/>
  </pivotTables>
  <data>
    <tabular pivotCacheId="115254073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B5E41658-C0C2-4672-859A-15E9DDDCD570}" sourceName="Education">
  <pivotTables>
    <pivotTable tabId="3" name="PivotTable1"/>
    <pivotTable tabId="3" name="PivotTable2"/>
    <pivotTable tabId="3" name="PivotTable3"/>
  </pivotTables>
  <data>
    <tabular pivotCacheId="1152540733">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89B0E93-13AB-4D57-90FC-81BFD800B539}" sourceName="Region">
  <pivotTables>
    <pivotTable tabId="3" name="PivotTable1"/>
    <pivotTable tabId="3" name="PivotTable2"/>
    <pivotTable tabId="3" name="PivotTable3"/>
  </pivotTables>
  <data>
    <tabular pivotCacheId="115254073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6003B70F-647D-4F6E-8E9C-3F7F4E736235}" cache="Slicer_Marital_Status" caption="Marital Status" rowHeight="241300"/>
  <slicer name="Education" xr10:uid="{F8B179C3-974C-4EC0-9D58-9962AA6D23E4}" cache="Slicer_Education" caption="Education" rowHeight="241300"/>
  <slicer name="Region" xr10:uid="{22CA01B2-C6FD-482B-B8EC-6C2156B253E8}"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L3" sqref="L3"/>
    </sheetView>
  </sheetViews>
  <sheetFormatPr defaultColWidth="11.85546875" defaultRowHeight="15" x14ac:dyDescent="0.25"/>
  <cols>
    <col min="6" max="6" width="17.7109375" bestFit="1" customWidth="1"/>
    <col min="7" max="7" width="14.140625" bestFit="1" customWidth="1"/>
    <col min="8" max="8" width="12.7109375" bestFit="1" customWidth="1"/>
    <col min="10" max="10" width="18" bestFit="1" customWidth="1"/>
    <col min="12" max="12" width="9.85546875" customWidth="1"/>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490C7-F3C5-4865-8DD3-31BFAFA0B188}">
  <dimension ref="A1:V6"/>
  <sheetViews>
    <sheetView showGridLines="0" tabSelected="1" zoomScale="60" zoomScaleNormal="60" workbookViewId="0">
      <selection activeCell="Y18" sqref="Y18"/>
    </sheetView>
  </sheetViews>
  <sheetFormatPr defaultRowHeight="15" x14ac:dyDescent="0.25"/>
  <sheetData>
    <row r="1" spans="1:22" ht="15" customHeight="1" x14ac:dyDescent="0.25">
      <c r="A1" s="10" t="s">
        <v>50</v>
      </c>
      <c r="B1" s="10"/>
      <c r="C1" s="10"/>
      <c r="D1" s="10"/>
      <c r="E1" s="10"/>
      <c r="F1" s="10"/>
      <c r="G1" s="10"/>
      <c r="H1" s="10"/>
      <c r="I1" s="10"/>
      <c r="J1" s="10"/>
      <c r="K1" s="10"/>
      <c r="L1" s="10"/>
      <c r="M1" s="10"/>
      <c r="N1" s="10"/>
      <c r="O1" s="10"/>
      <c r="P1" s="10"/>
      <c r="Q1" s="10"/>
      <c r="R1" s="10"/>
      <c r="S1" s="10"/>
      <c r="T1" s="10"/>
      <c r="U1" s="10"/>
      <c r="V1" s="10"/>
    </row>
    <row r="2" spans="1:22" ht="15" customHeight="1" x14ac:dyDescent="0.25">
      <c r="A2" s="10"/>
      <c r="B2" s="10"/>
      <c r="C2" s="10"/>
      <c r="D2" s="10"/>
      <c r="E2" s="10"/>
      <c r="F2" s="10"/>
      <c r="G2" s="10"/>
      <c r="H2" s="10"/>
      <c r="I2" s="10"/>
      <c r="J2" s="10"/>
      <c r="K2" s="10"/>
      <c r="L2" s="10"/>
      <c r="M2" s="10"/>
      <c r="N2" s="10"/>
      <c r="O2" s="10"/>
      <c r="P2" s="10"/>
      <c r="Q2" s="10"/>
      <c r="R2" s="10"/>
      <c r="S2" s="10"/>
      <c r="T2" s="10"/>
      <c r="U2" s="10"/>
      <c r="V2" s="10"/>
    </row>
    <row r="3" spans="1:22" ht="15" customHeight="1" x14ac:dyDescent="0.25">
      <c r="A3" s="10"/>
      <c r="B3" s="10"/>
      <c r="C3" s="10"/>
      <c r="D3" s="10"/>
      <c r="E3" s="10"/>
      <c r="F3" s="10"/>
      <c r="G3" s="10"/>
      <c r="H3" s="10"/>
      <c r="I3" s="10"/>
      <c r="J3" s="10"/>
      <c r="K3" s="10"/>
      <c r="L3" s="10"/>
      <c r="M3" s="10"/>
      <c r="N3" s="10"/>
      <c r="O3" s="10"/>
      <c r="P3" s="10"/>
      <c r="Q3" s="10"/>
      <c r="R3" s="10"/>
      <c r="S3" s="10"/>
      <c r="T3" s="10"/>
      <c r="U3" s="10"/>
      <c r="V3" s="10"/>
    </row>
    <row r="4" spans="1:22" ht="33.75" customHeight="1" x14ac:dyDescent="0.25">
      <c r="A4" s="10"/>
      <c r="B4" s="10"/>
      <c r="C4" s="10"/>
      <c r="D4" s="10"/>
      <c r="E4" s="10"/>
      <c r="F4" s="10"/>
      <c r="G4" s="10"/>
      <c r="H4" s="10"/>
      <c r="I4" s="10"/>
      <c r="J4" s="10"/>
      <c r="K4" s="10"/>
      <c r="L4" s="10"/>
      <c r="M4" s="10"/>
      <c r="N4" s="10"/>
      <c r="O4" s="10"/>
      <c r="P4" s="10"/>
      <c r="Q4" s="10"/>
      <c r="R4" s="10"/>
      <c r="S4" s="10"/>
      <c r="T4" s="10"/>
      <c r="U4" s="10"/>
      <c r="V4" s="10"/>
    </row>
    <row r="5" spans="1:22" ht="15" customHeight="1" x14ac:dyDescent="0.25">
      <c r="A5" s="10"/>
      <c r="B5" s="10"/>
      <c r="C5" s="10"/>
      <c r="D5" s="10"/>
      <c r="E5" s="10"/>
      <c r="F5" s="10"/>
      <c r="G5" s="10"/>
      <c r="H5" s="10"/>
      <c r="I5" s="10"/>
      <c r="J5" s="10"/>
      <c r="K5" s="10"/>
      <c r="L5" s="10"/>
      <c r="M5" s="10"/>
      <c r="N5" s="10"/>
      <c r="O5" s="10"/>
      <c r="P5" s="10"/>
      <c r="Q5" s="10"/>
      <c r="R5" s="10"/>
      <c r="S5" s="10"/>
      <c r="T5" s="10"/>
      <c r="U5" s="10"/>
      <c r="V5" s="10"/>
    </row>
    <row r="6" spans="1:22" ht="15" customHeight="1" x14ac:dyDescent="0.25">
      <c r="A6" s="10"/>
      <c r="B6" s="10"/>
      <c r="C6" s="10"/>
      <c r="D6" s="10"/>
      <c r="E6" s="10"/>
      <c r="F6" s="10"/>
      <c r="G6" s="10"/>
      <c r="H6" s="10"/>
      <c r="I6" s="10"/>
      <c r="J6" s="10"/>
      <c r="K6" s="10"/>
      <c r="L6" s="10"/>
      <c r="M6" s="10"/>
      <c r="N6" s="10"/>
      <c r="O6" s="10"/>
      <c r="P6" s="10"/>
      <c r="Q6" s="10"/>
      <c r="R6" s="10"/>
      <c r="S6" s="10"/>
      <c r="T6" s="10"/>
      <c r="U6" s="10"/>
      <c r="V6" s="10"/>
    </row>
  </sheetData>
  <mergeCells count="1">
    <mergeCell ref="A1:V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A1AD0-B49C-4563-B386-7883B002C618}">
  <dimension ref="A1:D38"/>
  <sheetViews>
    <sheetView topLeftCell="A21" workbookViewId="0">
      <selection activeCell="D47" sqref="D47"/>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1" spans="1:4" x14ac:dyDescent="0.25">
      <c r="A1" s="4" t="s">
        <v>44</v>
      </c>
      <c r="B1" s="4" t="s">
        <v>43</v>
      </c>
    </row>
    <row r="2" spans="1:4" x14ac:dyDescent="0.25">
      <c r="A2" s="4" t="s">
        <v>41</v>
      </c>
      <c r="B2" t="s">
        <v>18</v>
      </c>
      <c r="C2" t="s">
        <v>15</v>
      </c>
      <c r="D2" t="s">
        <v>42</v>
      </c>
    </row>
    <row r="3" spans="1:4" x14ac:dyDescent="0.25">
      <c r="A3" s="5" t="s">
        <v>39</v>
      </c>
      <c r="B3" s="3">
        <v>53440</v>
      </c>
      <c r="C3" s="3">
        <v>55774.058577405856</v>
      </c>
      <c r="D3" s="3">
        <v>54580.777096114522</v>
      </c>
    </row>
    <row r="4" spans="1:4" x14ac:dyDescent="0.25">
      <c r="A4" s="5" t="s">
        <v>38</v>
      </c>
      <c r="B4" s="3">
        <v>56208.178438661707</v>
      </c>
      <c r="C4" s="3">
        <v>60123.966942148763</v>
      </c>
      <c r="D4" s="3">
        <v>58062.62230919765</v>
      </c>
    </row>
    <row r="5" spans="1:4" x14ac:dyDescent="0.25">
      <c r="A5" s="5" t="s">
        <v>42</v>
      </c>
      <c r="B5" s="3">
        <v>54874.759152215796</v>
      </c>
      <c r="C5" s="3">
        <v>57962.577962577961</v>
      </c>
      <c r="D5" s="3">
        <v>56360</v>
      </c>
    </row>
    <row r="17" spans="1:4" x14ac:dyDescent="0.25">
      <c r="A17" s="7" t="s">
        <v>45</v>
      </c>
      <c r="B17" s="7" t="s">
        <v>43</v>
      </c>
      <c r="C17" s="8"/>
      <c r="D17" s="8"/>
    </row>
    <row r="18" spans="1:4" x14ac:dyDescent="0.25">
      <c r="A18" s="7" t="s">
        <v>41</v>
      </c>
      <c r="B18" s="8" t="s">
        <v>18</v>
      </c>
      <c r="C18" s="8" t="s">
        <v>15</v>
      </c>
      <c r="D18" s="8" t="s">
        <v>42</v>
      </c>
    </row>
    <row r="19" spans="1:4" x14ac:dyDescent="0.25">
      <c r="A19" s="8" t="s">
        <v>16</v>
      </c>
      <c r="B19" s="9">
        <v>166</v>
      </c>
      <c r="C19" s="9">
        <v>200</v>
      </c>
      <c r="D19" s="9">
        <v>366</v>
      </c>
    </row>
    <row r="20" spans="1:4" x14ac:dyDescent="0.25">
      <c r="A20" s="8" t="s">
        <v>26</v>
      </c>
      <c r="B20" s="9">
        <v>92</v>
      </c>
      <c r="C20" s="9">
        <v>77</v>
      </c>
      <c r="D20" s="9">
        <v>169</v>
      </c>
    </row>
    <row r="21" spans="1:4" x14ac:dyDescent="0.25">
      <c r="A21" s="8" t="s">
        <v>22</v>
      </c>
      <c r="B21" s="9">
        <v>67</v>
      </c>
      <c r="C21" s="9">
        <v>95</v>
      </c>
      <c r="D21" s="9">
        <v>162</v>
      </c>
    </row>
    <row r="22" spans="1:4" x14ac:dyDescent="0.25">
      <c r="A22" s="8" t="s">
        <v>23</v>
      </c>
      <c r="B22" s="9">
        <v>116</v>
      </c>
      <c r="C22" s="9">
        <v>76</v>
      </c>
      <c r="D22" s="9">
        <v>192</v>
      </c>
    </row>
    <row r="23" spans="1:4" x14ac:dyDescent="0.25">
      <c r="A23" s="8" t="s">
        <v>46</v>
      </c>
      <c r="B23" s="9">
        <v>78</v>
      </c>
      <c r="C23" s="9">
        <v>33</v>
      </c>
      <c r="D23" s="9">
        <v>111</v>
      </c>
    </row>
    <row r="24" spans="1:4" x14ac:dyDescent="0.25">
      <c r="A24" s="8" t="s">
        <v>42</v>
      </c>
      <c r="B24" s="9">
        <v>519</v>
      </c>
      <c r="C24" s="9">
        <v>481</v>
      </c>
      <c r="D24" s="9">
        <v>1000</v>
      </c>
    </row>
    <row r="33" spans="1:4" x14ac:dyDescent="0.25">
      <c r="A33" s="4" t="s">
        <v>45</v>
      </c>
      <c r="B33" s="4" t="s">
        <v>43</v>
      </c>
    </row>
    <row r="34" spans="1:4" x14ac:dyDescent="0.25">
      <c r="A34" s="4" t="s">
        <v>41</v>
      </c>
      <c r="B34" t="s">
        <v>18</v>
      </c>
      <c r="C34" t="s">
        <v>15</v>
      </c>
      <c r="D34" t="s">
        <v>42</v>
      </c>
    </row>
    <row r="35" spans="1:4" x14ac:dyDescent="0.25">
      <c r="A35" s="5" t="s">
        <v>47</v>
      </c>
      <c r="B35" s="6">
        <v>71</v>
      </c>
      <c r="C35" s="6">
        <v>39</v>
      </c>
      <c r="D35" s="6">
        <v>110</v>
      </c>
    </row>
    <row r="36" spans="1:4" x14ac:dyDescent="0.25">
      <c r="A36" s="5" t="s">
        <v>48</v>
      </c>
      <c r="B36" s="6">
        <v>331</v>
      </c>
      <c r="C36" s="6">
        <v>388</v>
      </c>
      <c r="D36" s="6">
        <v>719</v>
      </c>
    </row>
    <row r="37" spans="1:4" x14ac:dyDescent="0.25">
      <c r="A37" s="5" t="s">
        <v>49</v>
      </c>
      <c r="B37" s="6">
        <v>117</v>
      </c>
      <c r="C37" s="6">
        <v>54</v>
      </c>
      <c r="D37" s="6">
        <v>171</v>
      </c>
    </row>
    <row r="38" spans="1:4" x14ac:dyDescent="0.25">
      <c r="A38" s="5" t="s">
        <v>42</v>
      </c>
      <c r="B38" s="6">
        <v>519</v>
      </c>
      <c r="C38" s="6">
        <v>481</v>
      </c>
      <c r="D38" s="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99E7C-AA1D-4831-9B7B-45ED14EA2112}">
  <dimension ref="A1:N1001"/>
  <sheetViews>
    <sheetView topLeftCell="C1" workbookViewId="0">
      <selection activeCell="K10" sqref="K10"/>
    </sheetView>
  </sheetViews>
  <sheetFormatPr defaultRowHeight="15" x14ac:dyDescent="0.25"/>
  <cols>
    <col min="1" max="1" width="10.85546875" customWidth="1"/>
    <col min="2" max="2" width="17.5703125" customWidth="1"/>
    <col min="3" max="3" width="10.85546875" customWidth="1"/>
    <col min="4" max="4" width="19.140625" style="3" customWidth="1"/>
    <col min="5" max="5" width="10.85546875" customWidth="1"/>
    <col min="6" max="6" width="18" customWidth="1"/>
    <col min="7" max="7" width="18.85546875" customWidth="1"/>
    <col min="8" max="8" width="13" customWidth="1"/>
    <col min="9" max="9" width="11.5703125" customWidth="1"/>
    <col min="10" max="10" width="18.28515625" customWidth="1"/>
    <col min="11" max="11" width="13.42578125" customWidth="1"/>
    <col min="12" max="13" width="12.140625" customWidth="1"/>
    <col min="14" max="14" width="14.140625"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39</v>
      </c>
      <c r="D2" s="3">
        <v>40000</v>
      </c>
      <c r="E2">
        <v>1</v>
      </c>
      <c r="F2" t="s">
        <v>13</v>
      </c>
      <c r="G2" t="s">
        <v>14</v>
      </c>
      <c r="H2" t="s">
        <v>15</v>
      </c>
      <c r="I2">
        <v>0</v>
      </c>
      <c r="J2" t="s">
        <v>16</v>
      </c>
      <c r="K2" t="s">
        <v>17</v>
      </c>
      <c r="L2">
        <v>42</v>
      </c>
      <c r="M2" t="str">
        <f>IF(L2&gt;55,"Old",IF(L2&gt;=31,"Middle Age",IF(L2&lt;31,"Adolescent","Invalid")))</f>
        <v>Middle Age</v>
      </c>
      <c r="N2" t="s">
        <v>18</v>
      </c>
    </row>
    <row r="3" spans="1:14" x14ac:dyDescent="0.25">
      <c r="A3">
        <v>24107</v>
      </c>
      <c r="B3" t="s">
        <v>36</v>
      </c>
      <c r="C3" t="s">
        <v>38</v>
      </c>
      <c r="D3" s="3">
        <v>30000</v>
      </c>
      <c r="E3">
        <v>3</v>
      </c>
      <c r="F3" t="s">
        <v>19</v>
      </c>
      <c r="G3" t="s">
        <v>20</v>
      </c>
      <c r="H3" t="s">
        <v>15</v>
      </c>
      <c r="I3">
        <v>1</v>
      </c>
      <c r="J3" t="s">
        <v>16</v>
      </c>
      <c r="K3" t="s">
        <v>17</v>
      </c>
      <c r="L3">
        <v>43</v>
      </c>
      <c r="M3" t="str">
        <f t="shared" ref="M3:M66" si="0">IF(L3&gt;55,"Old",IF(L3&gt;=31,"Middle Age",IF(L3&lt;31,"Adolescent","Invalid")))</f>
        <v>Middle Age</v>
      </c>
      <c r="N3" t="s">
        <v>18</v>
      </c>
    </row>
    <row r="4" spans="1:14" x14ac:dyDescent="0.25">
      <c r="A4">
        <v>14177</v>
      </c>
      <c r="B4" t="s">
        <v>36</v>
      </c>
      <c r="C4" t="s">
        <v>38</v>
      </c>
      <c r="D4" s="3">
        <v>80000</v>
      </c>
      <c r="E4">
        <v>5</v>
      </c>
      <c r="F4" t="s">
        <v>19</v>
      </c>
      <c r="G4" t="s">
        <v>21</v>
      </c>
      <c r="H4" t="s">
        <v>18</v>
      </c>
      <c r="I4">
        <v>2</v>
      </c>
      <c r="J4" t="s">
        <v>22</v>
      </c>
      <c r="K4" t="s">
        <v>17</v>
      </c>
      <c r="L4">
        <v>60</v>
      </c>
      <c r="M4" t="str">
        <f t="shared" si="0"/>
        <v>Old</v>
      </c>
      <c r="N4" t="s">
        <v>18</v>
      </c>
    </row>
    <row r="5" spans="1:14" x14ac:dyDescent="0.25">
      <c r="A5">
        <v>24381</v>
      </c>
      <c r="B5" t="s">
        <v>37</v>
      </c>
      <c r="C5" t="s">
        <v>38</v>
      </c>
      <c r="D5" s="3">
        <v>70000</v>
      </c>
      <c r="E5">
        <v>0</v>
      </c>
      <c r="F5" t="s">
        <v>13</v>
      </c>
      <c r="G5" t="s">
        <v>21</v>
      </c>
      <c r="H5" t="s">
        <v>15</v>
      </c>
      <c r="I5">
        <v>1</v>
      </c>
      <c r="J5" t="s">
        <v>23</v>
      </c>
      <c r="K5" t="s">
        <v>24</v>
      </c>
      <c r="L5">
        <v>41</v>
      </c>
      <c r="M5" t="str">
        <f t="shared" si="0"/>
        <v>Middle Age</v>
      </c>
      <c r="N5" t="s">
        <v>15</v>
      </c>
    </row>
    <row r="6" spans="1:14" x14ac:dyDescent="0.25">
      <c r="A6">
        <v>25597</v>
      </c>
      <c r="B6" t="s">
        <v>37</v>
      </c>
      <c r="C6" t="s">
        <v>38</v>
      </c>
      <c r="D6" s="3">
        <v>30000</v>
      </c>
      <c r="E6">
        <v>0</v>
      </c>
      <c r="F6" t="s">
        <v>13</v>
      </c>
      <c r="G6" t="s">
        <v>20</v>
      </c>
      <c r="H6" t="s">
        <v>18</v>
      </c>
      <c r="I6">
        <v>0</v>
      </c>
      <c r="J6" t="s">
        <v>16</v>
      </c>
      <c r="K6" t="s">
        <v>17</v>
      </c>
      <c r="L6">
        <v>36</v>
      </c>
      <c r="M6" t="str">
        <f t="shared" si="0"/>
        <v>Middle Age</v>
      </c>
      <c r="N6" t="s">
        <v>15</v>
      </c>
    </row>
    <row r="7" spans="1:14" x14ac:dyDescent="0.25">
      <c r="A7">
        <v>13507</v>
      </c>
      <c r="B7" t="s">
        <v>36</v>
      </c>
      <c r="C7" t="s">
        <v>39</v>
      </c>
      <c r="D7" s="3">
        <v>10000</v>
      </c>
      <c r="E7">
        <v>2</v>
      </c>
      <c r="F7" t="s">
        <v>19</v>
      </c>
      <c r="G7" t="s">
        <v>25</v>
      </c>
      <c r="H7" t="s">
        <v>15</v>
      </c>
      <c r="I7">
        <v>0</v>
      </c>
      <c r="J7" t="s">
        <v>26</v>
      </c>
      <c r="K7" t="s">
        <v>17</v>
      </c>
      <c r="L7">
        <v>50</v>
      </c>
      <c r="M7" t="str">
        <f t="shared" si="0"/>
        <v>Middle Age</v>
      </c>
      <c r="N7" t="s">
        <v>18</v>
      </c>
    </row>
    <row r="8" spans="1:14" x14ac:dyDescent="0.25">
      <c r="A8">
        <v>27974</v>
      </c>
      <c r="B8" t="s">
        <v>37</v>
      </c>
      <c r="C8" t="s">
        <v>38</v>
      </c>
      <c r="D8" s="3">
        <v>160000</v>
      </c>
      <c r="E8">
        <v>2</v>
      </c>
      <c r="F8" t="s">
        <v>27</v>
      </c>
      <c r="G8" t="s">
        <v>28</v>
      </c>
      <c r="H8" t="s">
        <v>15</v>
      </c>
      <c r="I8">
        <v>4</v>
      </c>
      <c r="J8" t="s">
        <v>16</v>
      </c>
      <c r="K8" t="s">
        <v>24</v>
      </c>
      <c r="L8">
        <v>33</v>
      </c>
      <c r="M8" t="str">
        <f t="shared" si="0"/>
        <v>Middle Age</v>
      </c>
      <c r="N8" t="s">
        <v>15</v>
      </c>
    </row>
    <row r="9" spans="1:14" x14ac:dyDescent="0.25">
      <c r="A9">
        <v>19364</v>
      </c>
      <c r="B9" t="s">
        <v>36</v>
      </c>
      <c r="C9" t="s">
        <v>38</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25">
      <c r="A14">
        <v>11434</v>
      </c>
      <c r="B14" t="s">
        <v>36</v>
      </c>
      <c r="C14" t="s">
        <v>38</v>
      </c>
      <c r="D14" s="3">
        <v>170000</v>
      </c>
      <c r="E14">
        <v>5</v>
      </c>
      <c r="F14" t="s">
        <v>19</v>
      </c>
      <c r="G14" t="s">
        <v>21</v>
      </c>
      <c r="H14" t="s">
        <v>15</v>
      </c>
      <c r="I14">
        <v>0</v>
      </c>
      <c r="J14" t="s">
        <v>16</v>
      </c>
      <c r="K14" t="s">
        <v>17</v>
      </c>
      <c r="L14">
        <v>55</v>
      </c>
      <c r="M14" t="str">
        <f t="shared" si="0"/>
        <v>Middle Age</v>
      </c>
      <c r="N14" t="s">
        <v>18</v>
      </c>
    </row>
    <row r="15" spans="1:14" x14ac:dyDescent="0.2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38</v>
      </c>
      <c r="D21" s="3">
        <v>20000</v>
      </c>
      <c r="E21">
        <v>2</v>
      </c>
      <c r="F21" t="s">
        <v>29</v>
      </c>
      <c r="G21" t="s">
        <v>20</v>
      </c>
      <c r="H21" t="s">
        <v>15</v>
      </c>
      <c r="I21">
        <v>2</v>
      </c>
      <c r="J21" t="s">
        <v>23</v>
      </c>
      <c r="K21" t="s">
        <v>24</v>
      </c>
      <c r="L21">
        <v>55</v>
      </c>
      <c r="M21" t="str">
        <f t="shared" si="0"/>
        <v>Middle Age</v>
      </c>
      <c r="N21" t="s">
        <v>15</v>
      </c>
    </row>
    <row r="22" spans="1:14" x14ac:dyDescent="0.2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2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2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2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2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38</v>
      </c>
      <c r="D67" s="3">
        <v>30000</v>
      </c>
      <c r="E67">
        <v>2</v>
      </c>
      <c r="F67" t="s">
        <v>19</v>
      </c>
      <c r="G67" t="s">
        <v>20</v>
      </c>
      <c r="H67" t="s">
        <v>15</v>
      </c>
      <c r="I67">
        <v>2</v>
      </c>
      <c r="J67" t="s">
        <v>23</v>
      </c>
      <c r="K67" t="s">
        <v>24</v>
      </c>
      <c r="L67">
        <v>68</v>
      </c>
      <c r="M67" t="str">
        <f t="shared" ref="M67:M130" si="1">IF(L67&gt;55,"Old",IF(L67&gt;=31,"Middle Age",IF(L67&lt;31,"Adolescent","Invalid")))</f>
        <v>Old</v>
      </c>
      <c r="N67" t="s">
        <v>18</v>
      </c>
    </row>
    <row r="68" spans="1:14" x14ac:dyDescent="0.2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2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39</v>
      </c>
      <c r="D96" s="3">
        <v>30000</v>
      </c>
      <c r="E96">
        <v>3</v>
      </c>
      <c r="F96" t="s">
        <v>27</v>
      </c>
      <c r="G96" t="s">
        <v>14</v>
      </c>
      <c r="H96" t="s">
        <v>15</v>
      </c>
      <c r="I96">
        <v>2</v>
      </c>
      <c r="J96" t="s">
        <v>23</v>
      </c>
      <c r="K96" t="s">
        <v>24</v>
      </c>
      <c r="L96">
        <v>55</v>
      </c>
      <c r="M96" t="str">
        <f t="shared" si="1"/>
        <v>Middle Age</v>
      </c>
      <c r="N96" t="s">
        <v>18</v>
      </c>
    </row>
    <row r="97" spans="1:14" x14ac:dyDescent="0.25">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2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38</v>
      </c>
      <c r="D131" s="3">
        <v>10000</v>
      </c>
      <c r="E131">
        <v>3</v>
      </c>
      <c r="F131" t="s">
        <v>27</v>
      </c>
      <c r="G131" t="s">
        <v>25</v>
      </c>
      <c r="H131" t="s">
        <v>15</v>
      </c>
      <c r="I131">
        <v>1</v>
      </c>
      <c r="J131" t="s">
        <v>16</v>
      </c>
      <c r="K131" t="s">
        <v>17</v>
      </c>
      <c r="L131">
        <v>39</v>
      </c>
      <c r="M131" t="str">
        <f t="shared" ref="M131:M194" si="2">IF(L131&gt;55,"Old",IF(L131&gt;=31,"Middle Age",IF(L131&lt;31,"Adolescent","Invalid")))</f>
        <v>Middle Age</v>
      </c>
      <c r="N131" t="s">
        <v>15</v>
      </c>
    </row>
    <row r="132" spans="1:14" x14ac:dyDescent="0.2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f t="shared" si="2"/>
        <v>Middle Age</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38</v>
      </c>
      <c r="D180" s="3">
        <v>160000</v>
      </c>
      <c r="E180">
        <v>4</v>
      </c>
      <c r="F180" t="s">
        <v>19</v>
      </c>
      <c r="G180" t="s">
        <v>21</v>
      </c>
      <c r="H180" t="s">
        <v>18</v>
      </c>
      <c r="I180">
        <v>2</v>
      </c>
      <c r="J180" t="s">
        <v>46</v>
      </c>
      <c r="K180" t="s">
        <v>17</v>
      </c>
      <c r="L180">
        <v>55</v>
      </c>
      <c r="M180" t="str">
        <f t="shared" si="2"/>
        <v>Middle Age</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f t="shared" si="2"/>
        <v>Middle Age</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38</v>
      </c>
      <c r="D192" s="3">
        <v>30000</v>
      </c>
      <c r="E192">
        <v>3</v>
      </c>
      <c r="F192" t="s">
        <v>27</v>
      </c>
      <c r="G192" t="s">
        <v>14</v>
      </c>
      <c r="H192" t="s">
        <v>15</v>
      </c>
      <c r="I192">
        <v>2</v>
      </c>
      <c r="J192" t="s">
        <v>23</v>
      </c>
      <c r="K192" t="s">
        <v>24</v>
      </c>
      <c r="L192">
        <v>55</v>
      </c>
      <c r="M192" t="str">
        <f t="shared" si="2"/>
        <v>Middle Age</v>
      </c>
      <c r="N192" t="s">
        <v>18</v>
      </c>
    </row>
    <row r="193" spans="1:14" x14ac:dyDescent="0.2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39</v>
      </c>
      <c r="D195" s="3">
        <v>70000</v>
      </c>
      <c r="E195">
        <v>5</v>
      </c>
      <c r="F195" t="s">
        <v>13</v>
      </c>
      <c r="G195" t="s">
        <v>21</v>
      </c>
      <c r="H195" t="s">
        <v>15</v>
      </c>
      <c r="I195">
        <v>4</v>
      </c>
      <c r="J195" t="s">
        <v>46</v>
      </c>
      <c r="K195" t="s">
        <v>24</v>
      </c>
      <c r="L195">
        <v>41</v>
      </c>
      <c r="M195" t="str">
        <f t="shared" ref="M195:M258" si="3">IF(L195&gt;55,"Old",IF(L195&gt;=31,"Middle Age",IF(L195&lt;31,"Adolescent","Invalid")))</f>
        <v>Middle Age</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38</v>
      </c>
      <c r="D253" s="3">
        <v>130000</v>
      </c>
      <c r="E253">
        <v>4</v>
      </c>
      <c r="F253" t="s">
        <v>27</v>
      </c>
      <c r="G253" t="s">
        <v>21</v>
      </c>
      <c r="H253" t="s">
        <v>15</v>
      </c>
      <c r="I253">
        <v>3</v>
      </c>
      <c r="J253" t="s">
        <v>16</v>
      </c>
      <c r="K253" t="s">
        <v>17</v>
      </c>
      <c r="L253">
        <v>55</v>
      </c>
      <c r="M253" t="str">
        <f t="shared" si="3"/>
        <v>Middle Age</v>
      </c>
      <c r="N253" t="s">
        <v>18</v>
      </c>
    </row>
    <row r="254" spans="1:14" x14ac:dyDescent="0.2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f t="shared" ref="M259:M322" si="4">IF(L259&gt;55,"Old",IF(L259&gt;=31,"Middle Age",IF(L259&lt;31,"Adolescent","Invalid")))</f>
        <v>Middle Age</v>
      </c>
      <c r="N259" t="s">
        <v>15</v>
      </c>
    </row>
    <row r="260" spans="1:14" x14ac:dyDescent="0.25">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f t="shared" ref="M323:M386" si="5">IF(L323&gt;55,"Old",IF(L323&gt;=31,"Middle Age",IF(L323&lt;31,"Adolescent","Invalid")))</f>
        <v>Middle Age</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38</v>
      </c>
      <c r="D387" s="3">
        <v>30000</v>
      </c>
      <c r="E387">
        <v>3</v>
      </c>
      <c r="F387" t="s">
        <v>19</v>
      </c>
      <c r="G387" t="s">
        <v>20</v>
      </c>
      <c r="H387" t="s">
        <v>15</v>
      </c>
      <c r="I387">
        <v>0</v>
      </c>
      <c r="J387" t="s">
        <v>16</v>
      </c>
      <c r="K387" t="s">
        <v>17</v>
      </c>
      <c r="L387">
        <v>43</v>
      </c>
      <c r="M387" t="str">
        <f t="shared" ref="M387:M450" si="6">IF(L387&gt;55,"Old",IF(L387&gt;=31,"Middle Age",IF(L387&lt;31,"Adolescent","Invalid")))</f>
        <v>Middle Age</v>
      </c>
      <c r="N387" t="s">
        <v>18</v>
      </c>
    </row>
    <row r="388" spans="1:14" x14ac:dyDescent="0.25">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f t="shared" si="6"/>
        <v>Middle Age</v>
      </c>
      <c r="N432" t="s">
        <v>18</v>
      </c>
    </row>
    <row r="433" spans="1:14" x14ac:dyDescent="0.2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f t="shared" ref="M451:M514" si="7">IF(L451&gt;55,"Old",IF(L451&gt;=31,"Middle Age",IF(L451&lt;31,"Adolescent","Invalid")))</f>
        <v>Middle Age</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39</v>
      </c>
      <c r="D515" s="3">
        <v>60000</v>
      </c>
      <c r="E515">
        <v>4</v>
      </c>
      <c r="F515" t="s">
        <v>31</v>
      </c>
      <c r="G515" t="s">
        <v>28</v>
      </c>
      <c r="H515" t="s">
        <v>15</v>
      </c>
      <c r="I515">
        <v>2</v>
      </c>
      <c r="J515" t="s">
        <v>46</v>
      </c>
      <c r="K515" t="s">
        <v>32</v>
      </c>
      <c r="L515">
        <v>61</v>
      </c>
      <c r="M515" t="str">
        <f t="shared" ref="M515:M578" si="8">IF(L515&gt;55,"Old",IF(L515&gt;=31,"Middle Age",IF(L515&lt;31,"Adolescent","Invalid")))</f>
        <v>Old</v>
      </c>
      <c r="N515" t="s">
        <v>15</v>
      </c>
    </row>
    <row r="516" spans="1:14" x14ac:dyDescent="0.2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38</v>
      </c>
      <c r="D549" s="3">
        <v>60000</v>
      </c>
      <c r="E549">
        <v>2</v>
      </c>
      <c r="F549" t="s">
        <v>27</v>
      </c>
      <c r="G549" t="s">
        <v>21</v>
      </c>
      <c r="H549" t="s">
        <v>15</v>
      </c>
      <c r="I549">
        <v>2</v>
      </c>
      <c r="J549" t="s">
        <v>22</v>
      </c>
      <c r="K549" t="s">
        <v>32</v>
      </c>
      <c r="L549">
        <v>55</v>
      </c>
      <c r="M549" t="str">
        <f t="shared" si="8"/>
        <v>Middle Age</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38</v>
      </c>
      <c r="D573" s="3">
        <v>40000</v>
      </c>
      <c r="E573">
        <v>2</v>
      </c>
      <c r="F573" t="s">
        <v>29</v>
      </c>
      <c r="G573" t="s">
        <v>14</v>
      </c>
      <c r="H573" t="s">
        <v>15</v>
      </c>
      <c r="I573">
        <v>2</v>
      </c>
      <c r="J573" t="s">
        <v>22</v>
      </c>
      <c r="K573" t="s">
        <v>32</v>
      </c>
      <c r="L573">
        <v>55</v>
      </c>
      <c r="M573" t="str">
        <f t="shared" si="8"/>
        <v>Middle Age</v>
      </c>
      <c r="N573" t="s">
        <v>18</v>
      </c>
    </row>
    <row r="574" spans="1:14" x14ac:dyDescent="0.2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38</v>
      </c>
      <c r="D579" s="3">
        <v>120000</v>
      </c>
      <c r="E579">
        <v>1</v>
      </c>
      <c r="F579" t="s">
        <v>13</v>
      </c>
      <c r="G579" t="s">
        <v>28</v>
      </c>
      <c r="H579" t="s">
        <v>15</v>
      </c>
      <c r="I579">
        <v>4</v>
      </c>
      <c r="J579" t="s">
        <v>16</v>
      </c>
      <c r="K579" t="s">
        <v>32</v>
      </c>
      <c r="L579">
        <v>38</v>
      </c>
      <c r="M579" t="str">
        <f t="shared" ref="M579:M642" si="9">IF(L579&gt;55,"Old",IF(L579&gt;=31,"Middle Age",IF(L579&lt;31,"Adolescent","Invalid")))</f>
        <v>Middle Age</v>
      </c>
      <c r="N579" t="s">
        <v>18</v>
      </c>
    </row>
    <row r="580" spans="1:14" x14ac:dyDescent="0.2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f t="shared" si="9"/>
        <v>Middle Age</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38</v>
      </c>
      <c r="D643" s="3">
        <v>50000</v>
      </c>
      <c r="E643">
        <v>4</v>
      </c>
      <c r="F643" t="s">
        <v>13</v>
      </c>
      <c r="G643" t="s">
        <v>28</v>
      </c>
      <c r="H643" t="s">
        <v>15</v>
      </c>
      <c r="I643">
        <v>2</v>
      </c>
      <c r="J643" t="s">
        <v>46</v>
      </c>
      <c r="K643" t="s">
        <v>32</v>
      </c>
      <c r="L643">
        <v>64</v>
      </c>
      <c r="M643" t="str">
        <f t="shared" ref="M643:M706" si="10">IF(L643&gt;55,"Old",IF(L643&gt;=31,"Middle Age",IF(L643&lt;31,"Adolescent","Invalid")))</f>
        <v>Old</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39</v>
      </c>
      <c r="D707" s="3">
        <v>70000</v>
      </c>
      <c r="E707">
        <v>4</v>
      </c>
      <c r="F707" t="s">
        <v>13</v>
      </c>
      <c r="G707" t="s">
        <v>28</v>
      </c>
      <c r="H707" t="s">
        <v>15</v>
      </c>
      <c r="I707">
        <v>1</v>
      </c>
      <c r="J707" t="s">
        <v>46</v>
      </c>
      <c r="K707" t="s">
        <v>32</v>
      </c>
      <c r="L707">
        <v>59</v>
      </c>
      <c r="M707" t="str">
        <f t="shared" ref="M707:M770" si="11">IF(L707&gt;55,"Old",IF(L707&gt;=31,"Middle Age",IF(L707&lt;31,"Adolescent","Invalid")))</f>
        <v>Old</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39</v>
      </c>
      <c r="D741" s="3">
        <v>60000</v>
      </c>
      <c r="E741">
        <v>2</v>
      </c>
      <c r="F741" t="s">
        <v>19</v>
      </c>
      <c r="G741" t="s">
        <v>21</v>
      </c>
      <c r="H741" t="s">
        <v>15</v>
      </c>
      <c r="I741">
        <v>1</v>
      </c>
      <c r="J741" t="s">
        <v>46</v>
      </c>
      <c r="K741" t="s">
        <v>32</v>
      </c>
      <c r="L741">
        <v>55</v>
      </c>
      <c r="M741" t="str">
        <f t="shared" si="11"/>
        <v>Middle Age</v>
      </c>
      <c r="N741" t="s">
        <v>18</v>
      </c>
    </row>
    <row r="742" spans="1:14" x14ac:dyDescent="0.2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f t="shared" ref="M771:M834" si="12">IF(L771&gt;55,"Old",IF(L771&gt;=31,"Middle Age",IF(L771&lt;31,"Adolescent","Invalid")))</f>
        <v>Middle Age</v>
      </c>
      <c r="N771" t="s">
        <v>18</v>
      </c>
    </row>
    <row r="772" spans="1:14" x14ac:dyDescent="0.25">
      <c r="A772">
        <v>17699</v>
      </c>
      <c r="B772" t="s">
        <v>36</v>
      </c>
      <c r="C772" t="s">
        <v>38</v>
      </c>
      <c r="D772" s="3">
        <v>60000</v>
      </c>
      <c r="E772">
        <v>1</v>
      </c>
      <c r="F772" t="s">
        <v>31</v>
      </c>
      <c r="G772" t="s">
        <v>14</v>
      </c>
      <c r="H772" t="s">
        <v>18</v>
      </c>
      <c r="I772">
        <v>0</v>
      </c>
      <c r="J772" t="s">
        <v>16</v>
      </c>
      <c r="K772" t="s">
        <v>32</v>
      </c>
      <c r="L772">
        <v>55</v>
      </c>
      <c r="M772" t="str">
        <f t="shared" si="12"/>
        <v>Middle Age</v>
      </c>
      <c r="N772" t="s">
        <v>18</v>
      </c>
    </row>
    <row r="773" spans="1:14" x14ac:dyDescent="0.2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39</v>
      </c>
      <c r="D782" s="3">
        <v>60000</v>
      </c>
      <c r="E782">
        <v>2</v>
      </c>
      <c r="F782" t="s">
        <v>19</v>
      </c>
      <c r="G782" t="s">
        <v>21</v>
      </c>
      <c r="H782" t="s">
        <v>15</v>
      </c>
      <c r="I782">
        <v>1</v>
      </c>
      <c r="J782" t="s">
        <v>46</v>
      </c>
      <c r="K782" t="s">
        <v>32</v>
      </c>
      <c r="L782">
        <v>55</v>
      </c>
      <c r="M782" t="str">
        <f t="shared" si="12"/>
        <v>Middle Age</v>
      </c>
      <c r="N782" t="s">
        <v>18</v>
      </c>
    </row>
    <row r="783" spans="1:14" x14ac:dyDescent="0.2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f t="shared" ref="M835:M898" si="13">IF(L835&gt;55,"Old",IF(L835&gt;=31,"Middle Age",IF(L835&lt;31,"Adolescent","Invalid")))</f>
        <v>Middle Age</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38</v>
      </c>
      <c r="D868" s="3">
        <v>60000</v>
      </c>
      <c r="E868">
        <v>2</v>
      </c>
      <c r="F868" t="s">
        <v>27</v>
      </c>
      <c r="G868" t="s">
        <v>21</v>
      </c>
      <c r="H868" t="s">
        <v>15</v>
      </c>
      <c r="I868">
        <v>2</v>
      </c>
      <c r="J868" t="s">
        <v>46</v>
      </c>
      <c r="K868" t="s">
        <v>32</v>
      </c>
      <c r="L868">
        <v>55</v>
      </c>
      <c r="M868" t="str">
        <f t="shared" si="13"/>
        <v>Middle Age</v>
      </c>
      <c r="N868" t="s">
        <v>18</v>
      </c>
    </row>
    <row r="869" spans="1:14" x14ac:dyDescent="0.2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38</v>
      </c>
      <c r="D873" s="3">
        <v>60000</v>
      </c>
      <c r="E873">
        <v>2</v>
      </c>
      <c r="F873" t="s">
        <v>27</v>
      </c>
      <c r="G873" t="s">
        <v>21</v>
      </c>
      <c r="H873" t="s">
        <v>15</v>
      </c>
      <c r="I873">
        <v>2</v>
      </c>
      <c r="J873" t="s">
        <v>46</v>
      </c>
      <c r="K873" t="s">
        <v>32</v>
      </c>
      <c r="L873">
        <v>55</v>
      </c>
      <c r="M873" t="str">
        <f t="shared" si="13"/>
        <v>Middle Age</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38</v>
      </c>
      <c r="D899" s="3">
        <v>30000</v>
      </c>
      <c r="E899">
        <v>0</v>
      </c>
      <c r="F899" t="s">
        <v>29</v>
      </c>
      <c r="G899" t="s">
        <v>20</v>
      </c>
      <c r="H899" t="s">
        <v>18</v>
      </c>
      <c r="I899">
        <v>2</v>
      </c>
      <c r="J899" t="s">
        <v>16</v>
      </c>
      <c r="K899" t="s">
        <v>32</v>
      </c>
      <c r="L899">
        <v>28</v>
      </c>
      <c r="M899" t="str">
        <f t="shared" ref="M899:M962" si="14">IF(L899&gt;55,"Old",IF(L899&gt;=31,"Middle Age",IF(L899&lt;31,"Adolescent","Invalid")))</f>
        <v>Adolescent</v>
      </c>
      <c r="N899" t="s">
        <v>18</v>
      </c>
    </row>
    <row r="900" spans="1:14" x14ac:dyDescent="0.25">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f t="shared" ref="M963:M1001" si="15">IF(L963&gt;55,"Old",IF(L963&gt;=31,"Middle Age",IF(L963&lt;31,"Adolescent","Invalid")))</f>
        <v>Old</v>
      </c>
      <c r="N963" t="s">
        <v>18</v>
      </c>
    </row>
    <row r="964" spans="1:14" x14ac:dyDescent="0.25">
      <c r="A964">
        <v>16813</v>
      </c>
      <c r="B964" t="s">
        <v>36</v>
      </c>
      <c r="C964" t="s">
        <v>38</v>
      </c>
      <c r="D964" s="3">
        <v>60000</v>
      </c>
      <c r="E964">
        <v>2</v>
      </c>
      <c r="F964" t="s">
        <v>19</v>
      </c>
      <c r="G964" t="s">
        <v>21</v>
      </c>
      <c r="H964" t="s">
        <v>15</v>
      </c>
      <c r="I964">
        <v>2</v>
      </c>
      <c r="J964" t="s">
        <v>46</v>
      </c>
      <c r="K964" t="s">
        <v>32</v>
      </c>
      <c r="L964">
        <v>55</v>
      </c>
      <c r="M964" t="str">
        <f t="shared" si="15"/>
        <v>Middle Age</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CDD99E7C-AA1D-4831-9B7B-45ED14EA211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Dashboard</vt:lpstr>
      <vt:lpstr>pivot table</vt:lpstr>
      <vt:lpstr>working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keshav sharma</dc:creator>
  <cp:lastModifiedBy>keshav sharma</cp:lastModifiedBy>
  <dcterms:created xsi:type="dcterms:W3CDTF">2022-03-18T02:50:57Z</dcterms:created>
  <dcterms:modified xsi:type="dcterms:W3CDTF">2026-03-15T12:58:43Z</dcterms:modified>
</cp:coreProperties>
</file>